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35204153e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" sheetId="1" r:id="R9a1a6300f2324e61"/>
    <x:sheet xmlns:r="http://schemas.openxmlformats.org/officeDocument/2006/relationships" name="Planilha2" sheetId="2" r:id="Ra77c2cf7dfde4ac3"/>
    <x:sheet xmlns:r="http://schemas.openxmlformats.org/officeDocument/2006/relationships" name="Projeção" sheetId="3" r:id="R74897cf848c941d8"/>
  </x:sheets>
  <x:definedNames>
    <x:definedName name="aporte">APP!$D$17</x:definedName>
    <x:definedName name="patrimonio">APP!$D$20</x:definedName>
    <x:definedName name="qtd_anos">APP!$D$18</x:definedName>
    <x:definedName name="rendimento_carteira">APP!$D$13</x:definedName>
    <x:definedName name="salario">APP!$D$12</x:definedName>
    <x:definedName name="sugestao_investimento">APP!$D$14</x:definedName>
    <x:definedName name="taxa_mensal">APP!$D$19</x:definedName>
  </x:definedNames>
</x:workbook>
</file>

<file path=xl/sharedStrings.xml><?xml version="1.0" encoding="utf-8"?>
<x:sst xmlns:x="http://schemas.openxmlformats.org/spreadsheetml/2006/main">
  <x:si>
    <x:t xml:space="preserve">CONFIGURAÇÕES</x:t>
  </x:si>
  <x:si>
    <x:t xml:space="preserve">Salário</x:t>
  </x:si>
  <x:si>
    <x:t xml:space="preserve">Rendimento Carteira</x:t>
  </x:si>
  <x:si>
    <x:t xml:space="preserve">Sugestão de Investimento (30%)</x:t>
  </x:si>
  <x:si>
    <x:t xml:space="preserve">INVESTIMENTO MENSAL</x:t>
  </x:si>
  <x:si>
    <x:t xml:space="preserve">Quanto investir por mês ?</x:t>
  </x:si>
  <x:si>
    <x:t xml:space="preserve">Por Quantos Anos ?</x:t>
  </x:si>
  <x:si>
    <x:t xml:space="preserve">Taxa de Rendimento mensal ?</x:t>
  </x:si>
  <x:si>
    <x:t xml:space="preserve">Patrimônio acumulado ?</x:t>
  </x:si>
  <x:si>
    <x:t xml:space="preserve">Dividendos Mensais ?</x:t>
  </x:si>
  <x:si>
    <x:t xml:space="preserve"> Cenários</x:t>
  </x:si>
  <x:si>
    <x:t xml:space="preserve">Dividendo</x:t>
  </x:si>
  <x:si>
    <x:t xml:space="preserve">Quanto em 2 Anos ?</x:t>
  </x:si>
  <x:si>
    <x:t xml:space="preserve">Quanto em 5 Anos ?</x:t>
  </x:si>
  <x:si>
    <x:t xml:space="preserve">Quanto em 10 Anos ?</x:t>
  </x:si>
  <x:si>
    <x:t xml:space="preserve">Quanto em 20 Anos ?</x:t>
  </x:si>
  <x:si>
    <x:t xml:space="preserve">Quanto em 30 Anos ?</x:t>
  </x:si>
  <x:si>
    <x:t xml:space="preserve">PERFIL</x:t>
  </x:si>
  <x:si>
    <x:t xml:space="preserve">Moderado</x:t>
  </x:si>
  <x:si>
    <x:t xml:space="preserve">VALOR A SER INVESTIDO POR MÊS</x:t>
  </x:si>
  <x:si>
    <x:t xml:space="preserve">TIPO DE FII</x:t>
  </x:si>
  <x:si>
    <x:t xml:space="preserve">Percentual Sugerido</x:t>
  </x:si>
  <x:si>
    <x:t xml:space="preserve">Valores</x:t>
  </x:si>
  <x:si>
    <x:t xml:space="preserve">PAPEL</x:t>
  </x:si>
  <x:si>
    <x:t xml:space="preserve">TIJOLO</x:t>
  </x:si>
  <x:si>
    <x:t xml:space="preserve">HÍBRIDOS</x:t>
  </x:si>
  <x:si>
    <x:t xml:space="preserve">FOFs</x:t>
  </x:si>
  <x:si>
    <x:t xml:space="preserve">DESENVOLVIMENTO</x:t>
  </x:si>
  <x:si>
    <x:t xml:space="preserve">HOTELARIAS</x:t>
  </x:si>
  <x:si>
    <x:t xml:space="preserve">CHAVE</x:t>
  </x:si>
  <x:si>
    <x:t xml:space="preserve">%</x:t>
  </x:si>
  <x:si>
    <x:t xml:space="preserve">Conservador</x:t>
  </x:si>
  <x:si>
    <x:t xml:space="preserve">Agressivo</x:t>
  </x:si>
</x:sst>
</file>

<file path=xl/styles.xml><?xml version="1.0" encoding="utf-8"?>
<x:styleSheet xmlns:x="http://schemas.openxmlformats.org/spreadsheetml/2006/main">
  <x:numFmts count="6">
    <x:numFmt numFmtId="8" formatCode="&quot;R$&quot;\ #,##0.00;[Red]\-&quot;R$&quot;\ #,##0.00"/>
    <x:numFmt numFmtId="44" formatCode="_-&quot;R$&quot;\ * #,##0.00_-;\-&quot;R$&quot;\ * #,##0.00_-;_-&quot;R$&quot;\ * &quot;-&quot;??_-;_-@_-"/>
    <x:numFmt numFmtId="167" formatCode="&quot;R$&quot;\ #,##0.00"/>
    <x:numFmt numFmtId="200" formatCode="&quot;R$&quot; #,##0.00"/>
    <x:numFmt numFmtId="201" formatCode="0"/>
    <x:numFmt numFmtId="202" formatCode="&quot;R$&quot; #,##0.00;[Red](&quot;R$&quot; #,##0.00);-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1"/>
      <x:color rgb="FF9C5700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8"/>
      <x:color theme="0"/>
      <x:name val="Segoe UI Semibold"/>
    </x:font>
    <x:font>
      <x:sz val="11"/>
      <x:color theme="1"/>
      <x:name val="Segoe UI Semibold"/>
    </x:font>
    <x:font>
      <x:b/>
      <x:sz val="20"/>
      <x:color theme="0"/>
      <x:name val="Segoe UI Semibold"/>
    </x:font>
    <x:font>
      <x:b/>
      <x:sz val="12"/>
      <x:color theme="0"/>
      <x:name val="Segoe UI Semibold"/>
    </x:font>
    <x:font>
      <x:sz val="12"/>
      <x:color theme="1"/>
      <x:name val="Segoe UI"/>
    </x:font>
    <x:font>
      <x:sz val="11"/>
      <x:color theme="1"/>
      <x:name val="Segoe UI"/>
    </x:font>
    <x:font>
      <x:b/>
      <x:sz val="11"/>
      <x:color theme="1"/>
      <x:name val="Segoe UI"/>
    </x:font>
    <x:font>
      <x:b/>
      <x:sz val="12"/>
      <x:color theme="1"/>
      <x:name val="Segoe UI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6"/>
      </x:patternFill>
    </x:fill>
    <x:fill>
      <x:patternFill patternType="solid">
        <x:fgColor theme="0" tint="-0.15"/>
      </x:patternFill>
    </x:fill>
    <x:fill>
      <x:patternFill patternType="solid">
        <x:fgColor rgb="FFFFC000"/>
      </x:patternFill>
    </x:fill>
    <x:fill>
      <x:patternFill patternType="solid">
        <x:fgColor theme="0" tint="-0.04999"/>
      </x:patternFill>
    </x:fill>
    <x:fill>
      <x:patternFill patternType="solid">
        <x:fgColor theme="2" tint="-0.24998"/>
      </x:patternFill>
    </x:fill>
    <x:fill>
      <x:patternFill patternType="solid">
        <x:fgColor rgb="FFFFFF00"/>
      </x:patternFill>
    </x:fill>
    <x:fill>
      <x:patternFill patternType="solid">
        <x:fgColor theme="1"/>
      </x:patternFill>
    </x:fill>
    <x:fill>
      <x:patternFill patternType="solid">
        <x:fgColor rgb="FF176B2C"/>
      </x:patternFill>
    </x:fill>
  </x:fills>
  <x:borders count="29"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indexed="64"/>
      </x:top>
    </x:border>
    <x:border>
      <x:bottom style="medium">
        <x:color indexed="64"/>
      </x:bottom>
    </x:border>
    <x:border>
      <x:left style="medium">
        <x:color indexed="64"/>
      </x:left>
      <x:right style="hair">
        <x:color theme="0" tint="-0.14997"/>
      </x:right>
      <x:bottom style="hair">
        <x:color theme="0" tint="-0.14997"/>
      </x:bottom>
    </x:border>
    <x:border>
      <x:left style="hair">
        <x:color theme="0" tint="-0.14997"/>
      </x:left>
      <x:right style="hair">
        <x:color theme="0" tint="-0.14997"/>
      </x:right>
      <x:bottom style="hair">
        <x:color theme="0" tint="-0.14997"/>
      </x:bottom>
    </x:border>
    <x:border>
      <x:left style="hair">
        <x:color theme="0" tint="-0.14997"/>
      </x:left>
      <x:right style="medium">
        <x:color indexed="64"/>
      </x:right>
      <x:bottom style="hair">
        <x:color theme="0" tint="-0.14997"/>
      </x:bottom>
    </x:border>
    <x:border>
      <x:left style="medium">
        <x:color indexed="64"/>
      </x:left>
      <x:right style="hair">
        <x:color theme="0" tint="-0.14997"/>
      </x:right>
      <x:top style="hair">
        <x:color theme="0" tint="-0.14997"/>
      </x:top>
      <x:bottom style="hair">
        <x:color theme="0" tint="-0.14997"/>
      </x:bottom>
    </x:border>
    <x:border>
      <x:left style="hair">
        <x:color theme="0" tint="-0.14997"/>
      </x:left>
      <x:right style="hair">
        <x:color theme="0" tint="-0.14997"/>
      </x:right>
      <x:top style="hair">
        <x:color theme="0" tint="-0.14997"/>
      </x:top>
      <x:bottom style="hair">
        <x:color theme="0" tint="-0.14997"/>
      </x:bottom>
    </x:border>
    <x:border>
      <x:left style="hair">
        <x:color theme="0" tint="-0.14997"/>
      </x:left>
      <x:right style="medium">
        <x:color indexed="64"/>
      </x:right>
      <x:top style="hair">
        <x:color theme="0" tint="-0.14997"/>
      </x:top>
      <x:bottom style="hair">
        <x:color theme="0" tint="-0.14997"/>
      </x:bottom>
    </x:border>
    <x:border>
      <x:left style="medium">
        <x:color indexed="64"/>
      </x:left>
      <x:right style="hair">
        <x:color theme="0" tint="-0.14997"/>
      </x:right>
      <x:top style="hair">
        <x:color theme="0" tint="-0.14997"/>
      </x:top>
      <x:bottom style="medium">
        <x:color indexed="64"/>
      </x:bottom>
    </x:border>
    <x:border>
      <x:left style="hair">
        <x:color theme="0" tint="-0.14997"/>
      </x:left>
      <x:right style="hair">
        <x:color theme="0" tint="-0.14997"/>
      </x:right>
      <x:top style="hair">
        <x:color theme="0" tint="-0.14997"/>
      </x:top>
      <x:bottom style="medium">
        <x:color indexed="64"/>
      </x:bottom>
    </x:border>
    <x:border>
      <x:left style="hair">
        <x:color theme="0" tint="-0.14997"/>
      </x:left>
      <x:right style="medium">
        <x:color indexed="64"/>
      </x:right>
      <x:top style="hair">
        <x:color theme="0" tint="-0.14997"/>
      </x:top>
      <x:bottom style="medium">
        <x:color indexed="64"/>
      </x:bottom>
    </x:border>
    <x:border>
      <x:left style="medium">
        <x:color indexed="64"/>
      </x:left>
      <x:right style="thin">
        <x:color theme="0" tint="-0.34999"/>
      </x:right>
      <x:bottom style="thin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bottom style="thin">
        <x:color theme="0" tint="-0.34999"/>
      </x:bottom>
    </x:border>
    <x:border>
      <x:left style="thin">
        <x:color theme="0" tint="-0.34999"/>
      </x:left>
      <x:right style="medium">
        <x:color indexed="64"/>
      </x:right>
      <x:bottom style="thin">
        <x:color theme="0" tint="-0.34999"/>
      </x:bottom>
    </x:border>
    <x:border>
      <x:left style="medium">
        <x:color indexed="64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right style="medium">
        <x:color indexed="64"/>
      </x:right>
      <x:top style="thin">
        <x:color theme="0" tint="-0.34999"/>
      </x:top>
      <x:bottom style="thin">
        <x:color theme="0" tint="-0.34999"/>
      </x:bottom>
    </x:border>
    <x:border>
      <x:left style="medium">
        <x:color indexed="64"/>
      </x:left>
      <x:right style="thin">
        <x:color theme="0" tint="-0.34999"/>
      </x:right>
      <x:top style="thin">
        <x:color theme="0" tint="-0.34999"/>
      </x:top>
      <x:bottom style="medium">
        <x:color indexed="64"/>
      </x:bottom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medium">
        <x:color indexed="64"/>
      </x:bottom>
    </x:border>
    <x:border>
      <x:left style="thin">
        <x:color theme="0" tint="-0.34999"/>
      </x:left>
      <x:right style="medium">
        <x:color indexed="64"/>
      </x:right>
      <x:top style="thin">
        <x:color theme="0" tint="-0.34999"/>
      </x:top>
      <x:bottom style="medium">
        <x:color indexed="64"/>
      </x:bottom>
    </x:border>
    <x:border>
      <x:bottom style="medium">
        <x:color rgb="FF2F855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double">
        <x:color rgb="FF176B2C"/>
      </x:top>
    </x:border>
    <x:border>
      <x:right style="thin">
        <x:color rgb="FFFFFFFF"/>
      </x:right>
      <x:top style="double">
        <x:color rgb="FF176B2C"/>
      </x:top>
    </x:border>
  </x:borders>
  <x:cellStyleXfs count="4">
    <x:xf numFmtId="0" fontId="0" fillId="0" borderId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" fillId="2" borderId="0" applyNumberFormat="0" applyBorder="0" applyAlignment="0" applyProtection="0"/>
  </x:cellStyleXfs>
  <x:cellXfs count="82">
    <x:xf numFmtId="0" fontId="0" fillId="0" borderId="0" xfId="0"/>
    <x:xf numFmtId="0" fontId="4" fillId="0" borderId="0" xfId="0" applyFont="1"/>
    <x:xf numFmtId="0" fontId="0" fillId="0" borderId="0" xfId="0" applyAlignment="1">
      <x:alignment horizontal="center"/>
    </x:xf>
    <x:xf numFmtId="9" fontId="0" fillId="0" borderId="0" xfId="0" applyNumberFormat="1"/>
    <x:xf numFmtId="9" fontId="0" fillId="0" borderId="0" xfId="0" applyNumberFormat="1" applyAlignment="1">
      <x:alignment horizontal="center"/>
    </x:xf>
    <x:xf numFmtId="0" fontId="5" fillId="5" borderId="1" xfId="0" applyFont="1" applyFill="1" applyBorder="1" applyAlignment="1">
      <x:alignment horizontal="right" vertical="center"/>
    </x:xf>
    <x:xf numFmtId="0" fontId="6" fillId="5" borderId="3" xfId="0" applyFont="1" applyFill="1" applyBorder="1" applyAlignment="1">
      <x:alignment horizontal="right"/>
    </x:xf>
    <x:xf numFmtId="0" fontId="5" fillId="5" borderId="2" xfId="0" applyFont="1" applyFill="1" applyBorder="1" applyAlignment="1">
      <x:alignment horizontal="right" vertical="center"/>
    </x:xf>
    <x:xf numFmtId="0" fontId="7" fillId="3" borderId="1" xfId="0" applyFont="1" applyFill="1" applyBorder="1" applyAlignment="1">
      <x:alignment horizontal="center" vertical="center"/>
    </x:xf>
    <x:xf numFmtId="0" fontId="7" fillId="3" borderId="3" xfId="0" applyFont="1" applyFill="1" applyBorder="1" applyAlignment="1">
      <x:alignment horizontal="center" vertical="center"/>
    </x:xf>
    <x:xf numFmtId="0" fontId="7" fillId="3" borderId="2" xfId="0" applyFont="1" applyFill="1" applyBorder="1" applyAlignment="1">
      <x:alignment horizontal="center" vertical="center"/>
    </x:xf>
    <x:xf numFmtId="0" fontId="8" fillId="3" borderId="2" xfId="0" applyFont="1" applyFill="1" applyBorder="1" applyAlignment="1">
      <x:alignment horizontal="center" vertical="center"/>
    </x:xf>
    <x:xf numFmtId="0" fontId="9" fillId="4" borderId="5" xfId="0" applyFont="1" applyFill="1" applyBorder="1" applyAlignment="1">
      <x:alignment horizontal="left"/>
    </x:xf>
    <x:xf numFmtId="167" fontId="10" fillId="4" borderId="6" xfId="0" applyNumberFormat="1" applyFont="1" applyFill="1" applyBorder="1" applyAlignment="1">
      <x:alignment horizontal="center"/>
    </x:xf>
    <x:xf numFmtId="167" fontId="10" fillId="4" borderId="7" xfId="0" applyNumberFormat="1" applyFont="1" applyFill="1" applyBorder="1" applyAlignment="1">
      <x:alignment horizontal="center"/>
    </x:xf>
    <x:xf numFmtId="0" fontId="9" fillId="4" borderId="8" xfId="0" applyFont="1" applyFill="1" applyBorder="1" applyAlignment="1">
      <x:alignment horizontal="left"/>
    </x:xf>
    <x:xf numFmtId="167" fontId="10" fillId="4" borderId="9" xfId="0" applyNumberFormat="1" applyFont="1" applyFill="1" applyBorder="1" applyAlignment="1">
      <x:alignment horizontal="center"/>
    </x:xf>
    <x:xf numFmtId="167" fontId="10" fillId="4" borderId="10" xfId="0" applyNumberFormat="1" applyFont="1" applyFill="1" applyBorder="1" applyAlignment="1">
      <x:alignment horizontal="center"/>
    </x:xf>
    <x:xf numFmtId="0" fontId="9" fillId="4" borderId="11" xfId="0" applyFont="1" applyFill="1" applyBorder="1" applyAlignment="1">
      <x:alignment horizontal="left"/>
    </x:xf>
    <x:xf numFmtId="167" fontId="10" fillId="4" borderId="12" xfId="0" applyNumberFormat="1" applyFont="1" applyFill="1" applyBorder="1" applyAlignment="1">
      <x:alignment horizontal="center"/>
    </x:xf>
    <x:xf numFmtId="167" fontId="10" fillId="4" borderId="13" xfId="0" applyNumberFormat="1" applyFont="1" applyFill="1" applyBorder="1" applyAlignment="1">
      <x:alignment horizontal="center"/>
    </x:xf>
    <x:xf numFmtId="0" fontId="9" fillId="6" borderId="14" xfId="0" applyFont="1" applyFill="1" applyBorder="1" applyAlignment="1">
      <x:alignment horizontal="left"/>
    </x:xf>
    <x:xf numFmtId="0" fontId="9" fillId="6" borderId="15" xfId="0" applyFont="1" applyFill="1" applyBorder="1" applyAlignment="1">
      <x:alignment horizontal="left"/>
    </x:xf>
    <x:xf numFmtId="167" fontId="11" fillId="0" borderId="16" xfId="0" applyNumberFormat="1" applyFont="1" applyBorder="1" applyAlignment="1">
      <x:alignment horizontal="center"/>
    </x:xf>
    <x:xf numFmtId="0" fontId="9" fillId="6" borderId="17" xfId="0" applyFont="1" applyFill="1" applyBorder="1" applyAlignment="1">
      <x:alignment horizontal="left"/>
    </x:xf>
    <x:xf numFmtId="0" fontId="9" fillId="6" borderId="18" xfId="0" applyFont="1" applyFill="1" applyBorder="1" applyAlignment="1">
      <x:alignment horizontal="left"/>
    </x:xf>
    <x:xf numFmtId="0" fontId="11" fillId="0" borderId="19" xfId="0" applyFont="1" applyBorder="1" applyAlignment="1">
      <x:alignment horizontal="center"/>
    </x:xf>
    <x:xf numFmtId="10" fontId="11" fillId="0" borderId="19" xfId="0" applyNumberFormat="1" applyFont="1" applyBorder="1" applyAlignment="1">
      <x:alignment horizontal="center"/>
    </x:xf>
    <x:xf numFmtId="0" fontId="12" fillId="4" borderId="17" xfId="0" applyFont="1" applyFill="1" applyBorder="1" applyAlignment="1">
      <x:alignment horizontal="left"/>
    </x:xf>
    <x:xf numFmtId="0" fontId="12" fillId="4" borderId="18" xfId="0" applyFont="1" applyFill="1" applyBorder="1" applyAlignment="1">
      <x:alignment horizontal="left"/>
    </x:xf>
    <x:xf numFmtId="8" fontId="11" fillId="4" borderId="19" xfId="0" applyNumberFormat="1" applyFont="1" applyFill="1" applyBorder="1" applyAlignment="1">
      <x:alignment horizontal="center"/>
    </x:xf>
    <x:xf numFmtId="0" fontId="12" fillId="4" borderId="20" xfId="0" applyFont="1" applyFill="1" applyBorder="1" applyAlignment="1">
      <x:alignment horizontal="left"/>
    </x:xf>
    <x:xf numFmtId="0" fontId="12" fillId="4" borderId="21" xfId="0" applyFont="1" applyFill="1" applyBorder="1" applyAlignment="1">
      <x:alignment horizontal="left"/>
    </x:xf>
    <x:xf numFmtId="8" fontId="11" fillId="4" borderId="22" xfId="0" applyNumberFormat="1" applyFont="1" applyFill="1" applyBorder="1" applyAlignment="1">
      <x:alignment horizontal="center"/>
    </x:xf>
    <x:xf numFmtId="167" fontId="10" fillId="0" borderId="16" xfId="1" applyNumberFormat="1" applyFont="1" applyBorder="1" applyAlignment="1">
      <x:alignment horizontal="center"/>
    </x:xf>
    <x:xf numFmtId="10" fontId="10" fillId="0" borderId="19" xfId="0" applyNumberFormat="1" applyFont="1" applyBorder="1" applyAlignment="1">
      <x:alignment horizontal="center"/>
    </x:xf>
    <x:xf numFmtId="0" fontId="9" fillId="6" borderId="20" xfId="0" applyFont="1" applyFill="1" applyBorder="1" applyAlignment="1">
      <x:alignment horizontal="left"/>
    </x:xf>
    <x:xf numFmtId="0" fontId="9" fillId="6" borderId="21" xfId="0" applyFont="1" applyFill="1" applyBorder="1" applyAlignment="1">
      <x:alignment horizontal="left"/>
    </x:xf>
    <x:xf numFmtId="167" fontId="10" fillId="6" borderId="22" xfId="0" applyNumberFormat="1" applyFont="1" applyFill="1" applyBorder="1" applyAlignment="1">
      <x:alignment horizontal="center"/>
    </x:xf>
    <x:xf numFmtId="0" fontId="2" fillId="2" borderId="0" xfId="3"/>
    <x:xf numFmtId="0" fontId="2" fillId="2" borderId="0" xfId="3" applyAlignment="1">
      <x:alignment horizontal="center"/>
    </x:xf>
    <x:xf numFmtId="0" fontId="3" fillId="6" borderId="0" xfId="0" applyFont="1" applyFill="1"/>
    <x:xf numFmtId="167" fontId="3" fillId="6" borderId="0" xfId="1" applyNumberFormat="1" applyFont="1" applyFill="1" applyAlignment="1">
      <x:alignment horizontal="center"/>
    </x:xf>
    <x:xf numFmtId="0" fontId="3" fillId="7" borderId="0" xfId="0" applyFont="1" applyFill="1" applyAlignment="1">
      <x:alignment horizontal="center"/>
    </x:xf>
    <x:xf numFmtId="0" fontId="3" fillId="7" borderId="0" xfId="0" applyFont="1" applyFill="1"/>
    <x:xf numFmtId="167" fontId="3" fillId="7" borderId="0" xfId="0" applyNumberFormat="1" applyFont="1" applyFill="1" applyAlignment="1">
      <x:alignment horizontal="center"/>
    </x:xf>
    <x:xf numFmtId="167" fontId="0" fillId="6" borderId="0" xfId="0" applyNumberFormat="1" applyFill="1" applyAlignment="1">
      <x:alignment horizontal="center"/>
    </x:xf>
    <x:xf numFmtId="0" fontId="0" fillId="0" borderId="4" xfId="0" applyBorder="1"/>
    <x:xf numFmtId="0" fontId="0" fillId="0" borderId="4" xfId="0" applyBorder="1" applyAlignment="1">
      <x:alignment horizontal="center"/>
    </x:xf>
    <x:xf numFmtId="9" fontId="0" fillId="0" borderId="4" xfId="0" applyNumberFormat="1" applyBorder="1" applyAlignment="1">
      <x:alignment horizontal="center"/>
    </x:xf>
    <x:xf numFmtId="0" fontId="0" fillId="8" borderId="0" xfId="0" applyFill="1"/>
    <x:xf numFmtId="0" fontId="0" fillId="8" borderId="0" xfId="0" applyFill="1" applyAlignment="1">
      <x:alignment horizontal="center"/>
    </x:xf>
    <x:xf numFmtId="9" fontId="0" fillId="8" borderId="0" xfId="0" applyNumberFormat="1" applyFill="1" applyAlignment="1">
      <x:alignment horizontal="center"/>
    </x:xf>
    <x:xf numFmtId="9" fontId="2" fillId="2" borderId="0" xfId="2" applyFont="1" applyFill="1"/>
    <x:xf numFmtId="0" fontId="4" fillId="9" borderId="0" xfId="0" applyFont="1" applyFill="1"/>
    <x:xf numFmtId="0" fontId="4" fillId="9" borderId="0" xfId="0" applyFont="1" applyFill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200" fontId="3" fillId="7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23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3" fillId="10" borderId="0" xfId="0" applyNumberFormat="1" applyFont="1" applyFill="1" applyBorder="1" applyAlignment="1">
      <x:alignment vertical="center"/>
    </x:xf>
    <x:xf numFmtId="0" fontId="16" fillId="10" borderId="0" xfId="0" applyNumberFormat="1" applyFont="1" applyFill="1" applyBorder="1" applyAlignment="1">
      <x:alignment vertical="center"/>
    </x:xf>
    <x:xf numFmtId="0" fontId="16" fillId="10" borderId="24" xfId="0" applyNumberFormat="1" applyFont="1" applyFill="1" applyBorder="1" applyAlignment="1">
      <x:alignment vertical="center"/>
    </x:xf>
    <x:xf numFmtId="0" fontId="16" fillId="10" borderId="25" xfId="0" applyNumberFormat="1" applyFont="1" applyFill="1" applyBorder="1" applyAlignment="1">
      <x:alignment vertical="center"/>
    </x:xf>
    <x:xf numFmtId="0" fontId="16" fillId="10" borderId="26" xfId="0" applyNumberFormat="1" applyFont="1" applyFill="1" applyBorder="1" applyAlignment="1">
      <x:alignment vertical="center"/>
    </x:xf>
    <x:xf numFmtId="0" fontId="16" fillId="10" borderId="24" xfId="0" applyNumberFormat="1" applyFont="1" applyFill="1" applyBorder="1" applyAlignment="1">
      <x:alignment vertical="center" wrapText="1"/>
    </x:xf>
    <x:xf numFmtId="0" fontId="16" fillId="10" borderId="25" xfId="0" applyNumberFormat="1" applyFont="1" applyFill="1" applyBorder="1" applyAlignment="1">
      <x:alignment vertical="center" wrapText="1"/>
    </x:xf>
    <x:xf numFmtId="0" fontId="16" fillId="10" borderId="26" xfId="0" applyNumberFormat="1" applyFont="1" applyFill="1" applyBorder="1" applyAlignment="1">
      <x:alignment vertical="center" wrapText="1"/>
    </x:xf>
    <x:xf numFmtId="0" fontId="16" fillId="10" borderId="24" xfId="0" applyNumberFormat="1" applyFont="1" applyFill="1" applyBorder="1" applyAlignment="1">
      <x:alignment horizontal="center" vertical="center" wrapText="1"/>
    </x:xf>
    <x:xf numFmtId="0" fontId="16" fillId="10" borderId="25" xfId="0" applyNumberFormat="1" applyFont="1" applyFill="1" applyBorder="1" applyAlignment="1">
      <x:alignment horizontal="center" vertical="center" wrapText="1"/>
    </x:xf>
    <x:xf numFmtId="0" fontId="16" fillId="10" borderId="26" xfId="0" applyNumberFormat="1" applyFont="1" applyFill="1" applyBorder="1" applyAlignment="1">
      <x:alignment horizontal="center" vertical="center" wrapText="1"/>
    </x:xf>
    <x:xf numFmtId="201" fontId="13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201" fontId="17" fillId="0" borderId="0" xfId="0" applyNumberFormat="1" applyFont="1" applyFill="1" applyBorder="1" applyAlignment="1">
      <x:alignment vertical="center"/>
    </x:xf>
    <x:xf numFmtId="202" fontId="17" fillId="0" borderId="0" xfId="0" applyNumberFormat="1" applyFont="1" applyFill="1" applyBorder="1" applyAlignment="1">
      <x:alignment vertical="center"/>
    </x:xf>
    <x:xf numFmtId="201" fontId="17" fillId="0" borderId="27" xfId="0" applyNumberFormat="1" applyFont="1" applyFill="1" applyBorder="1" applyAlignment="1">
      <x:alignment vertical="center"/>
    </x:xf>
    <x:xf numFmtId="202" fontId="17" fillId="0" borderId="27" xfId="0" applyNumberFormat="1" applyFont="1" applyFill="1" applyBorder="1" applyAlignment="1">
      <x:alignment vertical="center"/>
    </x:xf>
    <x:xf numFmtId="202" fontId="13" fillId="0" borderId="24" xfId="0" applyNumberFormat="1" applyFont="1" applyFill="1" applyBorder="1" applyAlignment="1">
      <x:alignment vertical="center"/>
    </x:xf>
    <x:xf numFmtId="202" fontId="17" fillId="0" borderId="28" xfId="0" applyNumberFormat="1" applyFont="1" applyFill="1" applyBorder="1" applyAlignment="1">
      <x:alignment vertical="center"/>
    </x:xf>
  </x:cellXfs>
  <x:cellStyles count="4">
    <x:cellStyle name="Moeda" xfId="1"/>
    <x:cellStyle name="Neutro" xfId="3"/>
    <x:cellStyle name="Normal" xfId="0"/>
    <x:cellStyle name="Porcentagem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4a972309242c5" /><Relationship Type="http://schemas.openxmlformats.org/officeDocument/2006/relationships/theme" Target="/xl/theme/theme1.xml" Id="R15203587573f489c" /><Relationship Type="http://schemas.openxmlformats.org/officeDocument/2006/relationships/sharedStrings" Target="/xl/sharedStrings.xml" Id="Reee57ec214274334" /><Relationship Type="http://schemas.openxmlformats.org/officeDocument/2006/relationships/worksheet" Target="/xl/worksheets/sheet1.xml" Id="R9a1a6300f2324e61" /><Relationship Type="http://schemas.openxmlformats.org/officeDocument/2006/relationships/worksheet" Target="/xl/worksheets/sheet2.xml" Id="Ra77c2cf7dfde4ac3" /><Relationship Type="http://schemas.openxmlformats.org/officeDocument/2006/relationships/worksheet" Target="/xl/worksheets/sheet3.xml" Id="R74897cf848c941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1eff8c3e5c641ff" /><Relationship Type="http://schemas.openxmlformats.org/officeDocument/2006/relationships/chart" Target="/xl/drawings/charts/chart1.xml" Id="R30bc0051f86041b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c1baa9457224bb2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pieChart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spPr>
              <a:gradFill xmlns:a="http://schemas.openxmlformats.org/drawingml/2006/main" rotWithShape="1">
                <a:gsLst>
                  <a:gs pos="0">
                    <a:schemeClr val="accent1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1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1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1">
                    <a:shade val="95000"/>
                  </a:schemeClr>
                </a:solidFill>
              </a:ln>
            </c:spPr>
          </c:dPt>
          <c:dPt>
            <c:idx val="1"/>
            <c:spPr>
              <a:gradFill xmlns:a="http://schemas.openxmlformats.org/drawingml/2006/main" rotWithShape="1">
                <a:gsLst>
                  <a:gs pos="0">
                    <a:schemeClr val="accent2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2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2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2">
                    <a:shade val="95000"/>
                  </a:schemeClr>
                </a:solidFill>
              </a:ln>
            </c:spPr>
          </c:dPt>
          <c:dPt>
            <c:idx val="2"/>
            <c:spPr>
              <a:gradFill xmlns:a="http://schemas.openxmlformats.org/drawingml/2006/main" rotWithShape="1">
                <a:gsLst>
                  <a:gs pos="0">
                    <a:schemeClr val="accent3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3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3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3">
                    <a:shade val="95000"/>
                  </a:schemeClr>
                </a:solidFill>
              </a:ln>
            </c:spPr>
          </c:dPt>
          <c:dPt>
            <c:idx val="3"/>
            <c:spPr>
              <a:gradFill xmlns:a="http://schemas.openxmlformats.org/drawingml/2006/main" rotWithShape="1">
                <a:gsLst>
                  <a:gs pos="0">
                    <a:schemeClr val="accent4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4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4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4">
                    <a:shade val="95000"/>
                  </a:schemeClr>
                </a:solidFill>
              </a:ln>
            </c:spPr>
          </c:dPt>
          <c:dPt>
            <c:idx val="4"/>
            <c:spPr>
              <a:gradFill xmlns:a="http://schemas.openxmlformats.org/drawingml/2006/main" rotWithShape="1">
                <a:gsLst>
                  <a:gs pos="0">
                    <a:schemeClr val="accent5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5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5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5">
                    <a:shade val="95000"/>
                  </a:schemeClr>
                </a:solidFill>
              </a:ln>
            </c:spPr>
          </c:dPt>
          <c:dPt>
            <c:idx val="5"/>
            <c:spPr>
              <a:gradFill xmlns:a="http://schemas.openxmlformats.org/drawingml/2006/main" rotWithShape="1">
                <a:gsLst>
                  <a:gs pos="0">
                    <a:schemeClr val="accent6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6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6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6">
                    <a:shade val="95000"/>
                  </a:schemeClr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Patrimônio projetado e total investido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Total investido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'Projeção'!$B$6:$B$36</c:f>
              <c:strCache>
                <c:ptCount val="0"/>
              </c:strCache>
            </c:strRef>
          </c:cat>
          <c:val>
            <c:numRef>
              <c:f>'Projeção'!$C$6:$C$36</c:f>
              <c:numCache>
                <c:formatCode>"R$" #,##0.00;[Red]("R$" #,##0.00);-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Patrimônio acumulado</c:v>
          </c:tx>
          <c:spPr>
            <a:ln xmlns:a="http://schemas.openxmlformats.org/drawingml/2006/main" w="19050">
              <a:solidFill>
                <a:srgbClr val="176B2C"/>
              </a:solidFill>
              <a:prstDash val="solid"/>
            </a:ln>
          </c:spPr>
          <c:marker>
            <c:symbol val="none"/>
          </c:marker>
          <c:cat>
            <c:strRef>
              <c:f>'Projeção'!$B$6:$B$36</c:f>
              <c:strCache>
                <c:ptCount val="0"/>
              </c:strCache>
            </c:strRef>
          </c:cat>
          <c:val>
            <c:numRef>
              <c:f>'Projeção'!$D$6:$D$36</c:f>
              <c:numCache>
                <c:formatCode>"R$" #,##0.00;[Red]("R$" 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bc0051f86041b5"/>
        </a:graphicData>
      </a:graphic>
    </xdr:graphicFrame>
    <xdr:clientData/>
  </xdr:twoCellAnchor>
  <xdr:twoCellAnchor editAs="oneCell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eff8c3e5c6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1baa9457224b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edcf43f7894a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d6ac36ed79b4e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5.453125" customWidth="1"/>
    <x:col min="2" max="2" width="46.81640625" customWidth="1"/>
    <x:col min="3" max="3" width="17.453125" customWidth="1"/>
    <x:col min="4" max="4" width="15" customWidth="1"/>
    <x:col min="5" max="8" width="3.54296875" customWidth="1"/>
    <x:col min="9" max="16384" width="8.7265625" hidden="1" customWidth="0"/>
  </x:cols>
  <x:sheetData>
    <x:row r="10" ht="15"/>
    <x:row r="11" ht="26">
      <x:c r="B11" s="5" t="s">
        <x:v>0</x:v>
      </x:c>
      <x:c r="C11" s="6"/>
      <x:c r="D11" s="7"/>
    </x:row>
    <x:row r="12" ht="17.5">
      <x:c r="B12" s="21" t="s">
        <x:v>1</x:v>
      </x:c>
      <x:c r="C12" s="22"/>
      <x:c r="D12" s="34">
        <x:v>2000</x:v>
      </x:c>
    </x:row>
    <x:row r="13" ht="17.5">
      <x:c r="B13" s="24" t="s">
        <x:v>2</x:v>
      </x:c>
      <x:c r="C13" s="25"/>
      <x:c r="D13" s="35">
        <x:v>6.0000000000000001E-3</x:v>
      </x:c>
    </x:row>
    <x:row r="14" ht="18">
      <x:c r="B14" s="36" t="s">
        <x:v>3</x:v>
      </x:c>
      <x:c r="C14" s="37"/>
      <x:c r="D14" s="38" t="n">
        <x:f>D12*30%</x:f>
        <x:v>600</x:v>
      </x:c>
    </x:row>
    <x:row r="15" ht="15"/>
    <x:row r="16" ht="28.5" customHeight="1">
      <x:c r="B16" s="8" t="s">
        <x:v>4</x:v>
      </x:c>
      <x:c r="C16" s="9"/>
      <x:c r="D16" s="10"/>
    </x:row>
    <x:row r="17" ht="17.5">
      <x:c r="B17" s="21" t="s">
        <x:v>5</x:v>
      </x:c>
      <x:c r="C17" s="22"/>
      <x:c r="D17" s="23">
        <x:v>200</x:v>
      </x:c>
    </x:row>
    <x:row r="18" ht="17.5">
      <x:c r="B18" s="24" t="s">
        <x:v>6</x:v>
      </x:c>
      <x:c r="C18" s="25"/>
      <x:c r="D18" s="26">
        <x:v>5</x:v>
      </x:c>
    </x:row>
    <x:row r="19" ht="17.5">
      <x:c r="B19" s="24" t="s">
        <x:v>7</x:v>
      </x:c>
      <x:c r="C19" s="25"/>
      <x:c r="D19" s="27">
        <x:v>1.0789999999999999E-2</x:v>
      </x:c>
    </x:row>
    <x:row r="20" ht="17.5">
      <x:c r="B20" s="28" t="s">
        <x:v>8</x:v>
      </x:c>
      <x:c r="C20" s="29"/>
      <x:c r="D20" s="30" t="n">
        <x:f>FV(taxa_mensal,qtd_anos*12,aporte*-1)</x:f>
        <x:v>16755.382799697472</x:v>
      </x:c>
    </x:row>
    <x:row r="21" ht="18">
      <x:c r="B21" s="31" t="s">
        <x:v>9</x:v>
      </x:c>
      <x:c r="C21" s="32"/>
      <x:c r="D21" s="33" t="n">
        <x:f>patrimonio*rendimento_carteira</x:f>
        <x:v>100.53229679818483</x:v>
      </x:c>
      <x:c r="F21" s="3"/>
    </x:row>
    <x:row r="22" ht="15"/>
    <x:row r="23" ht="29">
      <x:c r="B23" s="8" t="s">
        <x:v>10</x:v>
      </x:c>
      <x:c r="C23" s="9"/>
      <x:c r="D23" s="11" t="s">
        <x:v>11</x:v>
      </x:c>
    </x:row>
    <x:row r="24" ht="17.5">
      <x:c r="A24" s="1">
        <x:v>2</x:v>
      </x:c>
      <x:c r="B24" s="12" t="s">
        <x:v>12</x:v>
      </x:c>
      <x:c r="C24" s="13" t="n">
        <x:f>FV($D$19,$A24*12,$D$17*-1)</x:f>
        <x:v>5445.525459529027</x:v>
      </x:c>
      <x:c r="D24" s="14" t="n">
        <x:f>C24*rendimento_carteira</x:f>
        <x:v>32.673152757174165</x:v>
      </x:c>
    </x:row>
    <x:row r="25" ht="17.5">
      <x:c r="A25" s="1">
        <x:v>5</x:v>
      </x:c>
      <x:c r="B25" s="15" t="s">
        <x:v>13</x:v>
      </x:c>
      <x:c r="C25" s="16" t="n">
        <x:f>FV($D$19,$A25*12,$D$17*-1)</x:f>
        <x:v>16755.382799697472</x:v>
      </x:c>
      <x:c r="D25" s="17" t="n">
        <x:f>C25*rendimento_carteira</x:f>
        <x:v>100.53229679818483</x:v>
      </x:c>
    </x:row>
    <x:row r="26" ht="17.5">
      <x:c r="A26" s="1">
        <x:v>10</x:v>
      </x:c>
      <x:c r="B26" s="15" t="s">
        <x:v>14</x:v>
      </x:c>
      <x:c r="C26" s="16" t="n">
        <x:f>FV($D$19,$A26*12,$D$17*-1)</x:f>
        <x:v>48656.84250603421</x:v>
      </x:c>
      <x:c r="D26" s="17" t="n">
        <x:f>C26*rendimento_carteira</x:f>
        <x:v>291.9410550362053</x:v>
      </x:c>
    </x:row>
    <x:row r="27" ht="17.5">
      <x:c r="A27" s="1">
        <x:v>20</x:v>
      </x:c>
      <x:c r="B27" s="15" t="s">
        <x:v>15</x:v>
      </x:c>
      <x:c r="C27" s="16" t="n">
        <x:f>FV($D$19,$A27*12,$D$17*-1)</x:f>
        <x:v>225039.68001941452</x:v>
      </x:c>
      <x:c r="D27" s="17" t="n">
        <x:f>C27*rendimento_carteira</x:f>
        <x:v>1350.238080116487</x:v>
      </x:c>
    </x:row>
    <x:row r="28" ht="18">
      <x:c r="A28" s="1">
        <x:v>30</x:v>
      </x:c>
      <x:c r="B28" s="18" t="s">
        <x:v>16</x:v>
      </x:c>
      <x:c r="C28" s="19" t="n">
        <x:f>FV($D$19,$A28*12,$D$17*-1)</x:f>
        <x:v>864433.9310009342</x:v>
      </x:c>
      <x:c r="D28" s="20" t="n">
        <x:f>C28*rendimento_carteira</x:f>
        <x:v>5186.603586005605</x:v>
      </x:c>
    </x:row>
    <x:row r="32">
      <x:c r="B32" s="39" t="s">
        <x:v>17</x:v>
      </x:c>
      <x:c r="C32" s="40" t="s">
        <x:v>18</x:v>
      </x:c>
      <x:c r="D32" s="39"/>
    </x:row>
    <x:row r="33">
      <x:c r="B33" s="41" t="s">
        <x:v>19</x:v>
      </x:c>
      <x:c r="C33" s="42" t="n">
        <x:f>aporte</x:f>
        <x:v>200</x:v>
      </x:c>
      <x:c r="D33" s="41"/>
    </x:row>
    <x:row r="35">
      <x:c r="B35" s="43" t="s">
        <x:v>20</x:v>
      </x:c>
      <x:c r="C35" s="43" t="s">
        <x:v>21</x:v>
      </x:c>
      <x:c r="D35" s="43" t="s">
        <x:v>22</x:v>
      </x:c>
    </x:row>
    <x:row r="36">
      <x:c r="B36" s="2" t="s">
        <x:v>23</x:v>
      </x:c>
      <x:c r="C36" s="4" t="n">
        <x:f>VLOOKUP($C$32&amp;"-"&amp;B36,Planilha2!$A:$D,4,FALSE)</x:f>
        <x:v>0.32</x:v>
      </x:c>
      <x:c r="D36" s="56" t="n">
        <x:f>C36*$C$33</x:f>
        <x:v>64</x:v>
      </x:c>
    </x:row>
    <x:row r="37">
      <x:c r="B37" s="2" t="s">
        <x:v>24</x:v>
      </x:c>
      <x:c r="C37" s="4" t="n">
        <x:f>VLOOKUP($C$32&amp;"-"&amp;B37,Planilha2!$A:$D,4,FALSE)</x:f>
        <x:v>0.35</x:v>
      </x:c>
      <x:c r="D37" s="56" t="n">
        <x:f t="shared" ref="D37:D41" si="0">C37*$C$33</x:f>
        <x:v>70</x:v>
      </x:c>
    </x:row>
    <x:row r="38">
      <x:c r="B38" s="2" t="s">
        <x:v>25</x:v>
      </x:c>
      <x:c r="C38" s="4" t="n">
        <x:f>VLOOKUP($C$32&amp;"-"&amp;B38,Planilha2!$A:$D,4,FALSE)</x:f>
        <x:v>0.08</x:v>
      </x:c>
      <x:c r="D38" s="56" t="n">
        <x:f t="shared" si="0">C38*$C$33</x:f>
        <x:v>16</x:v>
      </x:c>
    </x:row>
    <x:row r="39">
      <x:c r="B39" s="2" t="s">
        <x:v>26</x:v>
      </x:c>
      <x:c r="C39" s="4" t="n">
        <x:f>VLOOKUP($C$32&amp;"-"&amp;B39,Planilha2!$A:$D,4,FALSE)</x:f>
        <x:v>0.05</x:v>
      </x:c>
      <x:c r="D39" s="56" t="n">
        <x:f t="shared" si="0">C39*$C$33</x:f>
        <x:v>10</x:v>
      </x:c>
    </x:row>
    <x:row r="40">
      <x:c r="B40" s="2" t="s">
        <x:v>27</x:v>
      </x:c>
      <x:c r="C40" s="4" t="n">
        <x:f>VLOOKUP($C$32&amp;"-"&amp;B40,Planilha2!$A:$D,4,FALSE)</x:f>
        <x:v>0.1</x:v>
      </x:c>
      <x:c r="D40" s="56" t="n">
        <x:f t="shared" si="0">C40*$C$33</x:f>
        <x:v>20</x:v>
      </x:c>
    </x:row>
    <x:row r="41">
      <x:c r="B41" s="2" t="s">
        <x:v>28</x:v>
      </x:c>
      <x:c r="C41" s="4" t="n">
        <x:f>VLOOKUP($C$32&amp;"-"&amp;B41,Planilha2!$A:$D,4,FALSE)</x:f>
        <x:v>0.1</x:v>
      </x:c>
      <x:c r="D41" s="56" t="n">
        <x:f t="shared" si="0">C41*$C$33</x:f>
        <x:v>20</x:v>
      </x:c>
    </x:row>
    <x:row r="42">
      <x:c r="B42" s="44"/>
      <x:c r="C42" s="44"/>
      <x:c r="D42" s="57" t="n">
        <x:f>SUM(D36:D41)</x:f>
        <x:v>200</x:v>
      </x:c>
    </x:row>
    <x:row r="49"/>
    <x:row r="50"/>
    <x:row r="51"/>
    <x:row r="52"/>
    <x:row r="53"/>
    <x:row r="54"/>
    <x:row r="55"/>
    <x:row r="56"/>
    <x:row r="57"/>
  </x:sheetData>
  <x:mergeCells>
    <x:mergeCell ref="B17:C17"/>
    <x:mergeCell ref="B18:C18"/>
    <x:mergeCell ref="B19:C19"/>
    <x:mergeCell ref="B21:C21"/>
    <x:mergeCell ref="B16:D16"/>
    <x:mergeCell ref="B12:C12"/>
    <x:mergeCell ref="B13:C13"/>
    <x:mergeCell ref="B14:C14"/>
    <x:mergeCell ref="B20:C20"/>
    <x:mergeCell ref="B23:C23"/>
  </x:mergeCells>
  <x:dataValidations count="1">
    <x:dataValidation type="list" allowBlank="1" showInputMessage="1" showErrorMessage="1" sqref="C32">
      <x:formula1>"Conservador, Moderado, Agressivo"</x:formula1>
    </x:dataValidation>
  </x:dataValidations>
  <x:pageMargins left="0.7" right="0.7" top="0.75" bottom="0.75" header="0.3" footer="0.3"/>
  <x:drawing xmlns:r="http://schemas.openxmlformats.org/officeDocument/2006/relationships" r:id="R71edcf43f7894a2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9.1796875" customWidth="1"/>
    <x:col min="2" max="2" width="11.54296875" customWidth="1"/>
    <x:col min="3" max="3" width="17.7265625" customWidth="1"/>
    <x:col min="7" max="7" width="15.36328125" customWidth="1"/>
  </x:cols>
  <x:sheetData>
    <x:row r="2">
      <x:c r="A2" s="54" t="s">
        <x:v>29</x:v>
      </x:c>
      <x:c r="B2" s="54" t="s">
        <x:v>17</x:v>
      </x:c>
      <x:c r="C2" s="55" t="s">
        <x:v>20</x:v>
      </x:c>
      <x:c r="D2" s="55" t="s">
        <x:v>30</x:v>
      </x:c>
    </x:row>
    <x:row r="3">
      <x:c r="A3" t="str">
        <x:f>B3&amp;"-"&amp;C3</x:f>
        <x:v>Conservador-PAPEL</x:v>
      </x:c>
      <x:c r="B3" t="s">
        <x:v>31</x:v>
      </x:c>
      <x:c r="C3" s="2" t="s">
        <x:v>23</x:v>
      </x:c>
      <x:c r="D3" s="4">
        <x:v>0.3</x:v>
      </x:c>
      <x:c r="H3"/>
    </x:row>
    <x:row r="4">
      <x:c r="A4" t="str">
        <x:f t="shared" ref="A4:A20" si="0">B4&amp;"-"&amp;C4</x:f>
        <x:v>Conservador-TIJOLO</x:v>
      </x:c>
      <x:c r="B4" t="s">
        <x:v>31</x:v>
      </x:c>
      <x:c r="C4" s="2" t="s">
        <x:v>24</x:v>
      </x:c>
      <x:c r="D4" s="4">
        <x:v>0.5</x:v>
      </x:c>
      <x:c r="G4"/>
      <x:c r="H4"/>
    </x:row>
    <x:row r="5">
      <x:c r="A5" t="str">
        <x:f t="shared" si="0"/>
        <x:v>Conservador-HÍBRIDOS</x:v>
      </x:c>
      <x:c r="B5" t="s">
        <x:v>31</x:v>
      </x:c>
      <x:c r="C5" s="2" t="s">
        <x:v>25</x:v>
      </x:c>
      <x:c r="D5" s="4">
        <x:v>0.1</x:v>
      </x:c>
    </x:row>
    <x:row r="6">
      <x:c r="A6" t="str">
        <x:f t="shared" si="0"/>
        <x:v>Conservador-FOFs</x:v>
      </x:c>
      <x:c r="B6" t="s">
        <x:v>31</x:v>
      </x:c>
      <x:c r="C6" s="2" t="s">
        <x:v>26</x:v>
      </x:c>
      <x:c r="D6" s="4">
        <x:v>0.1</x:v>
      </x:c>
    </x:row>
    <x:row r="7">
      <x:c r="A7" t="str">
        <x:f t="shared" si="0"/>
        <x:v>Conservador-DESENVOLVIMENTO</x:v>
      </x:c>
      <x:c r="B7" t="s">
        <x:v>31</x:v>
      </x:c>
      <x:c r="C7" s="2" t="s">
        <x:v>27</x:v>
      </x:c>
      <x:c r="D7" s="4">
        <x:v>0</x:v>
      </x:c>
    </x:row>
    <x:row r="8" ht="15">
      <x:c r="A8" s="47" t="str">
        <x:f t="shared" si="0"/>
        <x:v>Conservador-HOTELARIAS</x:v>
      </x:c>
      <x:c r="B8" s="47" t="s">
        <x:v>31</x:v>
      </x:c>
      <x:c r="C8" s="48" t="s">
        <x:v>28</x:v>
      </x:c>
      <x:c r="D8" s="49">
        <x:v>0</x:v>
      </x:c>
    </x:row>
    <x:row r="9">
      <x:c r="A9" t="str">
        <x:f t="shared" si="0"/>
        <x:v>Moderado-PAPEL</x:v>
      </x:c>
      <x:c r="B9" t="s">
        <x:v>18</x:v>
      </x:c>
      <x:c r="C9" s="2" t="s">
        <x:v>23</x:v>
      </x:c>
      <x:c r="D9" s="4">
        <x:v>0.32</x:v>
      </x:c>
    </x:row>
    <x:row r="10">
      <x:c r="A10" s="50" t="str">
        <x:f t="shared" si="0"/>
        <x:v>Moderado-TIJOLO</x:v>
      </x:c>
      <x:c r="B10" s="50" t="s">
        <x:v>18</x:v>
      </x:c>
      <x:c r="C10" s="51" t="s">
        <x:v>24</x:v>
      </x:c>
      <x:c r="D10" s="52">
        <x:v>0.35</x:v>
      </x:c>
    </x:row>
    <x:row r="11">
      <x:c r="A11" t="str">
        <x:f t="shared" si="0"/>
        <x:v>Moderado-HÍBRIDOS</x:v>
      </x:c>
      <x:c r="B11" t="s">
        <x:v>18</x:v>
      </x:c>
      <x:c r="C11" s="2" t="s">
        <x:v>25</x:v>
      </x:c>
      <x:c r="D11" s="4">
        <x:v>0.08</x:v>
      </x:c>
    </x:row>
    <x:row r="12">
      <x:c r="A12" t="str">
        <x:f t="shared" si="0"/>
        <x:v>Moderado-FOFs</x:v>
      </x:c>
      <x:c r="B12" t="s">
        <x:v>18</x:v>
      </x:c>
      <x:c r="C12" s="2" t="s">
        <x:v>26</x:v>
      </x:c>
      <x:c r="D12" s="4">
        <x:v>0.05</x:v>
      </x:c>
    </x:row>
    <x:row r="13">
      <x:c r="A13" t="str">
        <x:f t="shared" si="0"/>
        <x:v>Moderado-DESENVOLVIMENTO</x:v>
      </x:c>
      <x:c r="B13" t="s">
        <x:v>18</x:v>
      </x:c>
      <x:c r="C13" s="2" t="s">
        <x:v>27</x:v>
      </x:c>
      <x:c r="D13" s="4">
        <x:v>0.1</x:v>
      </x:c>
    </x:row>
    <x:row r="14" ht="15">
      <x:c r="A14" s="47" t="str">
        <x:f t="shared" si="0"/>
        <x:v>Moderado-HOTELARIAS</x:v>
      </x:c>
      <x:c r="B14" s="47" t="s">
        <x:v>18</x:v>
      </x:c>
      <x:c r="C14" s="48" t="s">
        <x:v>28</x:v>
      </x:c>
      <x:c r="D14" s="49">
        <x:v>0.1</x:v>
      </x:c>
    </x:row>
    <x:row r="15">
      <x:c r="A15" t="str">
        <x:f t="shared" si="0"/>
        <x:v>Agressivo-PAPEL</x:v>
      </x:c>
      <x:c r="B15" t="s">
        <x:v>32</x:v>
      </x:c>
      <x:c r="C15" s="2" t="s">
        <x:v>23</x:v>
      </x:c>
      <x:c r="D15" s="4">
        <x:v>0.5</x:v>
      </x:c>
    </x:row>
    <x:row r="16">
      <x:c r="A16" t="str">
        <x:f t="shared" si="0"/>
        <x:v>Agressivo-TIJOLO</x:v>
      </x:c>
      <x:c r="B16" t="s">
        <x:v>32</x:v>
      </x:c>
      <x:c r="C16" s="2" t="s">
        <x:v>24</x:v>
      </x:c>
      <x:c r="D16" s="4">
        <x:v>0.1</x:v>
      </x:c>
    </x:row>
    <x:row r="17">
      <x:c r="A17" t="str">
        <x:f t="shared" si="0"/>
        <x:v>Agressivo-HÍBRIDOS</x:v>
      </x:c>
      <x:c r="B17" t="s">
        <x:v>32</x:v>
      </x:c>
      <x:c r="C17" s="2" t="s">
        <x:v>25</x:v>
      </x:c>
      <x:c r="D17" s="4">
        <x:v>0.05</x:v>
      </x:c>
    </x:row>
    <x:row r="18">
      <x:c r="A18" t="str">
        <x:f t="shared" si="0"/>
        <x:v>Agressivo-FOFs</x:v>
      </x:c>
      <x:c r="B18" t="s">
        <x:v>32</x:v>
      </x:c>
      <x:c r="C18" s="2" t="s">
        <x:v>26</x:v>
      </x:c>
      <x:c r="D18" s="4">
        <x:v>0.05</x:v>
      </x:c>
    </x:row>
    <x:row r="19">
      <x:c r="A19" t="str">
        <x:f t="shared" si="0"/>
        <x:v>Agressivo-DESENVOLVIMENTO</x:v>
      </x:c>
      <x:c r="B19" t="s">
        <x:v>32</x:v>
      </x:c>
      <x:c r="C19" s="2" t="s">
        <x:v>27</x:v>
      </x:c>
      <x:c r="D19" s="4">
        <x:v>0.2</x:v>
      </x:c>
    </x:row>
    <x:row r="20">
      <x:c r="A20" t="str">
        <x:f t="shared" si="0"/>
        <x:v>Agressivo-HOTELARIAS</x:v>
      </x:c>
      <x:c r="B20" t="s">
        <x:v>32</x:v>
      </x:c>
      <x:c r="C20" s="2" t="s">
        <x:v>28</x:v>
      </x:c>
      <x:c r="D20" s="4">
        <x:v>0.1</x:v>
      </x:c>
    </x:row>
    <x:row r="21">
      <x:c r="D2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855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2" ht="24" customHeight="1">
      <x:c r="B2" s="61" t="str">
        <x:v>Projeção anual do investimento</x:v>
      </x:c>
      <x:c r="C2" s="61"/>
      <x:c r="D2" s="61"/>
      <x:c r="E2" s="61"/>
      <x:c r="F2" s="61"/>
    </x:row>
    <x:row r="3">
      <x:c r="B3" s="62" t="str">
        <x:v>Valores calculados com os aportes e taxas definidos na aba APP.</x:v>
      </x:c>
      <x:c r="C3" s="62"/>
      <x:c r="D3" s="62"/>
      <x:c r="E3" s="62"/>
      <x:c r="F3" s="62"/>
    </x:row>
    <x:row r="4">
      <x:c r="B4" s="59"/>
      <x:c r="C4" s="59"/>
      <x:c r="D4" s="59"/>
      <x:c r="E4" s="59"/>
      <x:c r="F4" s="59"/>
    </x:row>
    <x:row r="5" ht="32" customHeight="1">
      <x:c r="B5" s="71" t="str">
        <x:v>Ano</x:v>
      </x:c>
      <x:c r="C5" s="72" t="str">
        <x:v>Total investido</x:v>
      </x:c>
      <x:c r="D5" s="72" t="str">
        <x:v>Patrimônio acumulado</x:v>
      </x:c>
      <x:c r="E5" s="72" t="str">
        <x:v>Rendimentos acumulados</x:v>
      </x:c>
      <x:c r="F5" s="72" t="str">
        <x:v>Dividendos mensais</x:v>
      </x:c>
    </x:row>
    <x:row r="6">
      <x:c r="B6" s="74" t="n">
        <x:v>0</x:v>
      </x:c>
      <x:c r="C6" s="75" t="n">
        <x:f>B6*12*aporte</x:f>
        <x:v>0</x:v>
      </x:c>
      <x:c r="D6" s="75" t="n">
        <x:f>IF(B6=0,0,FV(taxa_mensal,B6*12,aporte*-1))</x:f>
        <x:v>0</x:v>
      </x:c>
      <x:c r="E6" s="75" t="n">
        <x:f>D6-C6</x:f>
        <x:v>0</x:v>
      </x:c>
      <x:c r="F6" s="80" t="n">
        <x:f>D6*rendimento_carteira</x:f>
        <x:v>0</x:v>
      </x:c>
    </x:row>
    <x:row r="7">
      <x:c r="B7" s="74" t="n">
        <x:v>1</x:v>
      </x:c>
      <x:c r="C7" s="75" t="n">
        <x:f>B7*12*aporte</x:f>
        <x:v>2400</x:v>
      </x:c>
      <x:c r="D7" s="75" t="n">
        <x:f>IF(B7=0,0,FV(taxa_mensal,B7*12,aporte*-1))</x:f>
        <x:v>2547.677200111304</x:v>
      </x:c>
      <x:c r="E7" s="75" t="n">
        <x:f>D7-C7</x:f>
        <x:v>147.67720011130405</x:v>
      </x:c>
      <x:c r="F7" s="80" t="n">
        <x:f>D7*rendimento_carteira</x:f>
        <x:v>15.286063200667824</x:v>
      </x:c>
    </x:row>
    <x:row r="8">
      <x:c r="B8" s="74" t="n">
        <x:v>2</x:v>
      </x:c>
      <x:c r="C8" s="75" t="n">
        <x:f>B8*12*aporte</x:f>
        <x:v>4800</x:v>
      </x:c>
      <x:c r="D8" s="75" t="n">
        <x:f>IF(B8=0,0,FV(taxa_mensal,B8*12,aporte*-1))</x:f>
        <x:v>5445.525459529027</x:v>
      </x:c>
      <x:c r="E8" s="75" t="n">
        <x:f>D8-C8</x:f>
        <x:v>645.5254595290271</x:v>
      </x:c>
      <x:c r="F8" s="80" t="n">
        <x:f>D8*rendimento_carteira</x:f>
        <x:v>32.673152757174165</x:v>
      </x:c>
    </x:row>
    <x:row r="9">
      <x:c r="B9" s="74" t="n">
        <x:v>3</x:v>
      </x:c>
      <x:c r="C9" s="75" t="n">
        <x:f>B9*12*aporte</x:f>
        <x:v>7200</x:v>
      </x:c>
      <x:c r="D9" s="75" t="n">
        <x:f>IF(B9=0,0,FV(taxa_mensal,B9*12,aporte*-1))</x:f>
        <x:v>8741.674804604394</x:v>
      </x:c>
      <x:c r="E9" s="75" t="n">
        <x:f>D9-C9</x:f>
        <x:v>1541.674804604394</x:v>
      </x:c>
      <x:c r="F9" s="80" t="n">
        <x:f>D9*rendimento_carteira</x:f>
        <x:v>52.45004882762637</x:v>
      </x:c>
    </x:row>
    <x:row r="10">
      <x:c r="B10" s="74" t="n">
        <x:v>4</x:v>
      </x:c>
      <x:c r="C10" s="75" t="n">
        <x:f>B10*12*aporte</x:f>
        <x:v>9600</x:v>
      </x:c>
      <x:c r="D10" s="75" t="n">
        <x:f>IF(B10=0,0,FV(taxa_mensal,B10*12,aporte*-1))</x:f>
        <x:v>12490.870598321992</x:v>
      </x:c>
      <x:c r="E10" s="75" t="n">
        <x:f>D10-C10</x:f>
        <x:v>2890.8705983219916</x:v>
      </x:c>
      <x:c r="F10" s="80" t="n">
        <x:f>D10*rendimento_carteira</x:f>
        <x:v>74.94522358993196</x:v>
      </x:c>
    </x:row>
    <x:row r="11">
      <x:c r="B11" s="74" t="n">
        <x:v>5</x:v>
      </x:c>
      <x:c r="C11" s="75" t="n">
        <x:f>B11*12*aporte</x:f>
        <x:v>12000</x:v>
      </x:c>
      <x:c r="D11" s="75" t="n">
        <x:f>IF(B11=0,0,FV(taxa_mensal,B11*12,aporte*-1))</x:f>
        <x:v>16755.382799697472</x:v>
      </x:c>
      <x:c r="E11" s="75" t="n">
        <x:f>D11-C11</x:f>
        <x:v>4755.382799697472</x:v>
      </x:c>
      <x:c r="F11" s="80" t="n">
        <x:f>D11*rendimento_carteira</x:f>
        <x:v>100.53229679818483</x:v>
      </x:c>
    </x:row>
    <x:row r="12">
      <x:c r="B12" s="74" t="n">
        <x:v>6</x:v>
      </x:c>
      <x:c r="C12" s="75" t="n">
        <x:f>B12*12*aporte</x:f>
        <x:v>14400</x:v>
      </x:c>
      <x:c r="D12" s="75" t="n">
        <x:f>IF(B12=0,0,FV(taxa_mensal,B12*12,aporte*-1))</x:f>
        <x:v>21606.0401983199</x:v>
      </x:c>
      <x:c r="E12" s="75" t="n">
        <x:f>D12-C12</x:f>
        <x:v>7206.040198319901</x:v>
      </x:c>
      <x:c r="F12" s="80" t="n">
        <x:f>D12*rendimento_carteira</x:f>
        <x:v>129.63624118991942</x:v>
      </x:c>
    </x:row>
    <x:row r="13">
      <x:c r="B13" s="74" t="n">
        <x:v>7</x:v>
      </x:c>
      <x:c r="C13" s="75" t="n">
        <x:f>B13*12*aporte</x:f>
        <x:v>16800</x:v>
      </x:c>
      <x:c r="D13" s="75" t="n">
        <x:f>IF(B13=0,0,FV(taxa_mensal,B13*12,aporte*-1))</x:f>
        <x:v>27123.4068015205</x:v>
      </x:c>
      <x:c r="E13" s="75" t="n">
        <x:f>D13-C13</x:f>
        <x:v>10323.406801520501</x:v>
      </x:c>
      <x:c r="F13" s="80" t="n">
        <x:f>D13*rendimento_carteira</x:f>
        <x:v>162.74044080912302</x:v>
      </x:c>
    </x:row>
    <x:row r="14">
      <x:c r="B14" s="74" t="n">
        <x:v>8</x:v>
      </x:c>
      <x:c r="C14" s="75" t="n">
        <x:f>B14*12*aporte</x:f>
        <x:v>19200</x:v>
      </x:c>
      <x:c r="D14" s="75" t="n">
        <x:f>IF(B14=0,0,FV(taxa_mensal,B14*12,aporte*-1))</x:f>
        <x:v>33399.11991264612</x:v>
      </x:c>
      <x:c r="E14" s="75" t="n">
        <x:f>D14-C14</x:f>
        <x:v>14199.119912646122</x:v>
      </x:c>
      <x:c r="F14" s="80" t="n">
        <x:f>D14*rendimento_carteira</x:f>
        <x:v>200.39471947587674</x:v>
      </x:c>
    </x:row>
    <x:row r="15">
      <x:c r="B15" s="74" t="n">
        <x:v>9</x:v>
      </x:c>
      <x:c r="C15" s="75" t="n">
        <x:f>B15*12*aporte</x:f>
        <x:v>21600</x:v>
      </x:c>
      <x:c r="D15" s="75" t="n">
        <x:f>IF(B15=0,0,FV(taxa_mensal,B15*12,aporte*-1))</x:f>
        <x:v>40537.412124424685</x:v>
      </x:c>
      <x:c r="E15" s="75" t="n">
        <x:f>D15-C15</x:f>
        <x:v>18937.412124424685</x:v>
      </x:c>
      <x:c r="F15" s="80" t="n">
        <x:f>D15*rendimento_carteira</x:f>
        <x:v>243.22447274654812</x:v>
      </x:c>
    </x:row>
    <x:row r="16">
      <x:c r="B16" s="74" t="n">
        <x:v>10</x:v>
      </x:c>
      <x:c r="C16" s="75" t="n">
        <x:f>B16*12*aporte</x:f>
        <x:v>24000</x:v>
      </x:c>
      <x:c r="D16" s="75" t="n">
        <x:f>IF(B16=0,0,FV(taxa_mensal,B16*12,aporte*-1))</x:f>
        <x:v>48656.84250603421</x:v>
      </x:c>
      <x:c r="E16" s="75" t="n">
        <x:f>D16-C16</x:f>
        <x:v>24656.842506034212</x:v>
      </x:c>
      <x:c r="F16" s="80" t="n">
        <x:f>D16*rendimento_carteira</x:f>
        <x:v>291.9410550362053</x:v>
      </x:c>
    </x:row>
    <x:row r="17">
      <x:c r="B17" s="74" t="n">
        <x:v>11</x:v>
      </x:c>
      <x:c r="C17" s="75" t="n">
        <x:f>B17*12*aporte</x:f>
        <x:v>26400</x:v>
      </x:c>
      <x:c r="D17" s="75" t="n">
        <x:f>IF(B17=0,0,FV(taxa_mensal,B17*12,aporte*-1))</x:f>
        <x:v>57892.26573696102</x:v>
      </x:c>
      <x:c r="E17" s="75" t="n">
        <x:f>D17-C17</x:f>
        <x:v>31492.265736961017</x:v>
      </x:c>
      <x:c r="F17" s="80" t="n">
        <x:f>D17*rendimento_carteira</x:f>
        <x:v>347.3535944217661</x:v>
      </x:c>
    </x:row>
    <x:row r="18">
      <x:c r="B18" s="74" t="n">
        <x:v>12</x:v>
      </x:c>
      <x:c r="C18" s="75" t="n">
        <x:f>B18*12*aporte</x:f>
        <x:v>28800</x:v>
      </x:c>
      <x:c r="D18" s="75" t="n">
        <x:f>IF(B18=0,0,FV(taxa_mensal,B18*12,aporte*-1))</x:f>
        <x:v>68397.07189276368</x:v>
      </x:c>
      <x:c r="E18" s="75" t="n">
        <x:f>D18-C18</x:f>
        <x:v>39597.07189276368</x:v>
      </x:c>
      <x:c r="F18" s="80" t="n">
        <x:f>D18*rendimento_carteira</x:f>
        <x:v>410.38243135658206</x:v>
      </x:c>
    </x:row>
    <x:row r="19">
      <x:c r="B19" s="74" t="n">
        <x:v>13</x:v>
      </x:c>
      <x:c r="C19" s="75" t="n">
        <x:f>B19*12*aporte</x:f>
        <x:v>31200</x:v>
      </x:c>
      <x:c r="D19" s="75" t="n">
        <x:f>IF(B19=0,0,FV(taxa_mensal,B19*12,aporte*-1))</x:f>
        <x:v>80345.73408308487</x:v>
      </x:c>
      <x:c r="E19" s="75" t="n">
        <x:f>D19-C19</x:f>
        <x:v>49145.73408308487</x:v>
      </x:c>
      <x:c r="F19" s="80" t="n">
        <x:f>D19*rendimento_carteira</x:f>
        <x:v>482.07440449850924</x:v>
      </x:c>
    </x:row>
    <x:row r="20">
      <x:c r="B20" s="74" t="n">
        <x:v>14</x:v>
      </x:c>
      <x:c r="C20" s="75" t="n">
        <x:f>B20*12*aporte</x:f>
        <x:v>33600</x:v>
      </x:c>
      <x:c r="D20" s="75" t="n">
        <x:f>IF(B20=0,0,FV(taxa_mensal,B20*12,aporte*-1))</x:f>
        <x:v>93936.70625533647</x:v>
      </x:c>
      <x:c r="E20" s="75" t="n">
        <x:f>D20-C20</x:f>
        <x:v>60336.70625533647</x:v>
      </x:c>
      <x:c r="F20" s="80" t="n">
        <x:f>D20*rendimento_carteira</x:f>
        <x:v>563.6202375320188</x:v>
      </x:c>
    </x:row>
    <x:row r="21">
      <x:c r="B21" s="74" t="n">
        <x:v>15</x:v>
      </x:c>
      <x:c r="C21" s="75" t="n">
        <x:f>B21*12*aporte</x:f>
        <x:v>36000</x:v>
      </x:c>
      <x:c r="D21" s="75" t="n">
        <x:f>IF(B21=0,0,FV(taxa_mensal,B21*12,aporte*-1))</x:f>
        <x:v>109395.71929334353</x:v>
      </x:c>
      <x:c r="E21" s="75" t="n">
        <x:f>D21-C21</x:f>
        <x:v>73395.71929334353</x:v>
      </x:c>
      <x:c r="F21" s="80" t="n">
        <x:f>D21*rendimento_carteira</x:f>
        <x:v>656.3743157600612</x:v>
      </x:c>
    </x:row>
    <x:row r="22">
      <x:c r="B22" s="74" t="n">
        <x:v>16</x:v>
      </x:c>
      <x:c r="C22" s="75" t="n">
        <x:f>B22*12*aporte</x:f>
        <x:v>38400</x:v>
      </x:c>
      <x:c r="D22" s="75" t="n">
        <x:f>IF(B22=0,0,FV(taxa_mensal,B22*12,aporte*-1))</x:f>
        <x:v>126979.53015546824</x:v>
      </x:c>
      <x:c r="E22" s="75" t="n">
        <x:f>D22-C22</x:f>
        <x:v>88579.53015546824</x:v>
      </x:c>
      <x:c r="F22" s="80" t="n">
        <x:f>D22*rendimento_carteira</x:f>
        <x:v>761.8771809328094</x:v>
      </x:c>
    </x:row>
    <x:row r="23">
      <x:c r="B23" s="74" t="n">
        <x:v>17</x:v>
      </x:c>
      <x:c r="C23" s="75" t="n">
        <x:f>B23*12*aporte</x:f>
        <x:v>40800</x:v>
      </x:c>
      <x:c r="D23" s="75" t="n">
        <x:f>IF(B23=0,0,FV(taxa_mensal,B23*12,aporte*-1))</x:f>
        <x:v>146980.186321215</x:v>
      </x:c>
      <x:c r="E23" s="75" t="n">
        <x:f>D23-C23</x:f>
        <x:v>106180.186321215</x:v>
      </x:c>
      <x:c r="F23" s="80" t="n">
        <x:f>D23*rendimento_carteira</x:f>
        <x:v>881.88111792729</x:v>
      </x:c>
    </x:row>
    <x:row r="24">
      <x:c r="B24" s="74" t="n">
        <x:v>18</x:v>
      </x:c>
      <x:c r="C24" s="75" t="n">
        <x:f>B24*12*aporte</x:f>
        <x:v>43200</x:v>
      </x:c>
      <x:c r="D24" s="75" t="n">
        <x:f>IF(B24=0,0,FV(taxa_mensal,B24*12,aporte*-1))</x:f>
        <x:v>169729.8763740166</x:v>
      </x:c>
      <x:c r="E24" s="75" t="n">
        <x:f>D24-C24</x:f>
        <x:v>126529.8763740166</x:v>
      </x:c>
      <x:c r="F24" s="80" t="n">
        <x:f>D24*rendimento_carteira</x:f>
        <x:v>1018.3792582440997</x:v>
      </x:c>
    </x:row>
    <x:row r="25">
      <x:c r="B25" s="74" t="n">
        <x:v>19</x:v>
      </x:c>
      <x:c r="C25" s="75" t="n">
        <x:f>B25*12*aporte</x:f>
        <x:v>45600</x:v>
      </x:c>
      <x:c r="D25" s="75" t="n">
        <x:f>IF(B25=0,0,FV(taxa_mensal,B25*12,aporte*-1))</x:f>
        <x:v>195606.4472829699</x:v>
      </x:c>
      <x:c r="E25" s="75" t="n">
        <x:f>D25-C25</x:f>
        <x:v>150006.4472829699</x:v>
      </x:c>
      <x:c r="F25" s="80" t="n">
        <x:f>D25*rendimento_carteira</x:f>
        <x:v>1173.6386836978195</x:v>
      </x:c>
    </x:row>
    <x:row r="26">
      <x:c r="B26" s="74" t="n">
        <x:v>20</x:v>
      </x:c>
      <x:c r="C26" s="75" t="n">
        <x:f>B26*12*aporte</x:f>
        <x:v>48000</x:v>
      </x:c>
      <x:c r="D26" s="75" t="n">
        <x:f>IF(B26=0,0,FV(taxa_mensal,B26*12,aporte*-1))</x:f>
        <x:v>225039.68001941452</x:v>
      </x:c>
      <x:c r="E26" s="75" t="n">
        <x:f>D26-C26</x:f>
        <x:v>177039.68001941452</x:v>
      </x:c>
      <x:c r="F26" s="80" t="n">
        <x:f>D26*rendimento_carteira</x:f>
        <x:v>1350.238080116487</x:v>
      </x:c>
    </x:row>
    <x:row r="27">
      <x:c r="B27" s="74" t="n">
        <x:v>21</x:v>
      </x:c>
      <x:c r="C27" s="75" t="n">
        <x:f>B27*12*aporte</x:f>
        <x:v>50400</x:v>
      </x:c>
      <x:c r="D27" s="75" t="n">
        <x:f>IF(B27=0,0,FV(taxa_mensal,B27*12,aporte*-1))</x:f>
        <x:v>258518.42773934407</x:v>
      </x:c>
      <x:c r="E27" s="75" t="n">
        <x:f>D27-C27</x:f>
        <x:v>208118.42773934407</x:v>
      </x:c>
      <x:c r="F27" s="80" t="n">
        <x:f>D27*rendimento_carteira</x:f>
        <x:v>1551.1105664360646</x:v>
      </x:c>
    </x:row>
    <x:row r="28">
      <x:c r="B28" s="74" t="n">
        <x:v>22</x:v>
      </x:c>
      <x:c r="C28" s="75" t="n">
        <x:f>B28*12*aporte</x:f>
        <x:v>52800</x:v>
      </x:c>
      <x:c r="D28" s="75" t="n">
        <x:f>IF(B28=0,0,FV(taxa_mensal,B28*12,aporte*-1))</x:f>
        <x:v>296598.73508889537</x:v>
      </x:c>
      <x:c r="E28" s="75" t="n">
        <x:f>D28-C28</x:f>
        <x:v>243798.73508889537</x:v>
      </x:c>
      <x:c r="F28" s="80" t="n">
        <x:f>D28*rendimento_carteira</x:f>
        <x:v>1779.5924105333722</x:v>
      </x:c>
    </x:row>
    <x:row r="29">
      <x:c r="B29" s="74" t="n">
        <x:v>23</x:v>
      </x:c>
      <x:c r="C29" s="75" t="n">
        <x:f>B29*12*aporte</x:f>
        <x:v>55200</x:v>
      </x:c>
      <x:c r="D29" s="75" t="n">
        <x:f>IF(B29=0,0,FV(taxa_mensal,B29*12,aporte*-1))</x:f>
        <x:v>339913.07348552113</x:v>
      </x:c>
      <x:c r="E29" s="75" t="n">
        <x:f>D29-C29</x:f>
        <x:v>284713.07348552113</x:v>
      </x:c>
      <x:c r="F29" s="80" t="n">
        <x:f>D29*rendimento_carteira</x:f>
        <x:v>2039.4784409131269</x:v>
      </x:c>
    </x:row>
    <x:row r="30">
      <x:c r="B30" s="74" t="n">
        <x:v>24</x:v>
      </x:c>
      <x:c r="C30" s="75" t="n">
        <x:f>B30*12*aporte</x:f>
        <x:v>57600</x:v>
      </x:c>
      <x:c r="D30" s="75" t="n">
        <x:f>IF(B30=0,0,FV(taxa_mensal,B30*12,aporte*-1))</x:f>
        <x:v>389180.8457625619</x:v>
      </x:c>
      <x:c r="E30" s="75" t="n">
        <x:f>D30-C30</x:f>
        <x:v>331580.8457625619</x:v>
      </x:c>
      <x:c r="F30" s="80" t="n">
        <x:f>D30*rendimento_carteira</x:f>
        <x:v>2335.0850745753714</x:v>
      </x:c>
    </x:row>
    <x:row r="31">
      <x:c r="B31" s="74" t="n">
        <x:v>25</x:v>
      </x:c>
      <x:c r="C31" s="75" t="n">
        <x:f>B31*12*aporte</x:f>
        <x:v>60000</x:v>
      </x:c>
      <x:c r="D31" s="75" t="n">
        <x:f>IF(B31=0,0,FV(taxa_mensal,B31*12,aporte*-1))</x:f>
        <x:v>445220.3346476425</x:v>
      </x:c>
      <x:c r="E31" s="75" t="n">
        <x:f>D31-C31</x:f>
        <x:v>385220.3346476425</x:v>
      </x:c>
      <x:c r="F31" s="80" t="n">
        <x:f>D31*rendimento_carteira</x:f>
        <x:v>2671.322007885855</x:v>
      </x:c>
    </x:row>
    <x:row r="32">
      <x:c r="B32" s="74" t="n">
        <x:v>26</x:v>
      </x:c>
      <x:c r="C32" s="75" t="n">
        <x:f>B32*12*aporte</x:f>
        <x:v>62400</x:v>
      </x:c>
      <x:c r="D32" s="75" t="n">
        <x:f>IF(B32=0,0,FV(taxa_mensal,B32*12,aporte*-1))</x:f>
        <x:v>508962.2935257906</x:v>
      </x:c>
      <x:c r="E32" s="75" t="n">
        <x:f>D32-C32</x:f>
        <x:v>446562.2935257906</x:v>
      </x:c>
      <x:c r="F32" s="80" t="n">
        <x:f>D32*rendimento_carteira</x:f>
        <x:v>3053.7737611547436</x:v>
      </x:c>
    </x:row>
    <x:row r="33">
      <x:c r="B33" s="74" t="n">
        <x:v>27</x:v>
      </x:c>
      <x:c r="C33" s="75" t="n">
        <x:f>B33*12*aporte</x:f>
        <x:v>64800</x:v>
      </x:c>
      <x:c r="D33" s="75" t="n">
        <x:f>IF(B33=0,0,FV(taxa_mensal,B33*12,aporte*-1))</x:f>
        <x:v>581465.405214684</x:v>
      </x:c>
      <x:c r="E33" s="75" t="n">
        <x:f>D33-C33</x:f>
        <x:v>516665.40521468397</x:v>
      </x:c>
      <x:c r="F33" s="80" t="n">
        <x:f>D33*rendimento_carteira</x:f>
        <x:v>3488.7924312881037</x:v>
      </x:c>
    </x:row>
    <x:row r="34">
      <x:c r="B34" s="74" t="n">
        <x:v>28</x:v>
      </x:c>
      <x:c r="C34" s="75" t="n">
        <x:f>B34*12*aporte</x:f>
        <x:v>67200</x:v>
      </x:c>
      <x:c r="D34" s="75" t="n">
        <x:f>IF(B34=0,0,FV(taxa_mensal,B34*12,aporte*-1))</x:f>
        <x:v>663933.8655050418</x:v>
      </x:c>
      <x:c r="E34" s="75" t="n">
        <x:f>D34-C34</x:f>
        <x:v>596733.8655050418</x:v>
      </x:c>
      <x:c r="F34" s="80" t="n">
        <x:f>D34*rendimento_carteira</x:f>
        <x:v>3983.6031930302506</x:v>
      </x:c>
    </x:row>
    <x:row r="35">
      <x:c r="B35" s="74" t="n">
        <x:v>29</x:v>
      </x:c>
      <x:c r="C35" s="75" t="n">
        <x:f>B35*12*aporte</x:f>
        <x:v>69600</x:v>
      </x:c>
      <x:c r="D35" s="75" t="n">
        <x:f>IF(B35=0,0,FV(taxa_mensal,B35*12,aporte*-1))</x:f>
        <x:v>757737.3835091402</x:v>
      </x:c>
      <x:c r="E35" s="75" t="n">
        <x:f>D35-C35</x:f>
        <x:v>688137.3835091402</x:v>
      </x:c>
      <x:c r="F35" s="80" t="n">
        <x:f>D35*rendimento_carteira</x:f>
        <x:v>4546.424301054842</x:v>
      </x:c>
    </x:row>
    <x:row r="36">
      <x:c r="B36" s="78" t="n">
        <x:v>30</x:v>
      </x:c>
      <x:c r="C36" s="79" t="n">
        <x:f>B36*12*aporte</x:f>
        <x:v>72000</x:v>
      </x:c>
      <x:c r="D36" s="79" t="n">
        <x:f>IF(B36=0,0,FV(taxa_mensal,B36*12,aporte*-1))</x:f>
        <x:v>864433.9310009342</x:v>
      </x:c>
      <x:c r="E36" s="79" t="n">
        <x:f>D36-C36</x:f>
        <x:v>792433.9310009342</x:v>
      </x:c>
      <x:c r="F36" s="81" t="n">
        <x:f>D36*rendimento_carteira</x:f>
        <x:v>5186.603586005605</x:v>
      </x:c>
    </x:row>
  </x:sheetData>
  <x:mergeCells>
    <x:mergeCell ref="B2:F2"/>
    <x:mergeCell ref="B3:F3"/>
  </x:mergeCells>
  <x:pageMargins left="0.7" right="0.7" top="0.75" bottom="0.75" header="0.3" footer="0.3"/>
  <x:drawing xmlns:r="http://schemas.openxmlformats.org/officeDocument/2006/relationships" r:id="Rfd6ac36ed79b4e1c"/>
</x:worksheet>
</file>